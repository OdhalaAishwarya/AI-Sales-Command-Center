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Inference" sheetId="2" state="visible" r:id="rId4"/>
    <sheet name="Cost Savings" sheetId="3" state="visible" r:id="rId5"/>
    <sheet name="Model &amp; Assumption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<sst xmlns="http://schemas.openxmlformats.org/spreadsheetml/2006/main" count="136" uniqueCount="131">
  <si>
    <t xml:space="preserve">AtliQ Sales &amp; CRM Memory Assistant</t>
  </si>
  <si>
    <t xml:space="preserve">Cost Estimation — Summary Dashboard</t>
  </si>
  <si>
    <t xml:space="preserve">Monthly AI tool cost</t>
  </si>
  <si>
    <t xml:space="preserve">Annual AI tool cost</t>
  </si>
  <si>
    <t xml:space="preserve">Monthly savings vs. manual</t>
  </si>
  <si>
    <t xml:space="preserve">% cost saved</t>
  </si>
  <si>
    <t xml:space="preserve">Annual savings</t>
  </si>
  <si>
    <t xml:space="preserve">Analysis + summaries + emails</t>
  </si>
  <si>
    <t xml:space="preserve">12 × monthly</t>
  </si>
  <si>
    <t xml:space="preserve">Human-equivalent − AI cost</t>
  </si>
  <si>
    <t xml:space="preserve">vs. manual review baseline</t>
  </si>
  <si>
    <t xml:space="preserve">12 × monthly savings</t>
  </si>
  <si>
    <t xml:space="preserve">ROI — for every $1 spent on the AI tool, this saves:</t>
  </si>
  <si>
    <t xml:space="preserve">in founder + sales rep time value</t>
  </si>
  <si>
    <t xml:space="preserve">Where each number comes from</t>
  </si>
  <si>
    <t xml:space="preserve">Inference</t>
  </si>
  <si>
    <t xml:space="preserve">Token pricing, per-lead/summary/email cost, monthly volume assumptions, monthly cost projection, and a low/mid/high scenario table.</t>
  </si>
  <si>
    <t xml:space="preserve">Cost Savings</t>
  </si>
  <si>
    <t xml:space="preserve">Manual-review baseline, the AI tool's monthly cost (linked from Inference), the resulting savings, and a break-even calculation.</t>
  </si>
  <si>
    <t xml:space="preserve">Model &amp; Assumptions</t>
  </si>
  <si>
    <t xml:space="preserve">Why Claude Sonnet 5, infrastructure costs, the real billing data this model is grounded in, and every key assumption in plain language.</t>
  </si>
  <si>
    <t xml:space="preserve">This model is fully formula-driven — every number traces back to the Inference or Cost Savings sheet; nothing here is a hardcoded duplicate.</t>
  </si>
  <si>
    <t xml:space="preserve">AtliQ Sales &amp; CRM Memory Assistant — Cost Estimation</t>
  </si>
  <si>
    <t xml:space="preserve">Model inference cost, grounded in real measured usage where possible</t>
  </si>
  <si>
    <t xml:space="preserve">Yellow cells are adjustable assumptions. Blue text = input. Green text = link to another sheet.</t>
  </si>
  <si>
    <t xml:space="preserve">MODEL &amp; PRICING  (Anthropic — Claude Sonnet 5)</t>
  </si>
  <si>
    <t xml:space="preserve">Model</t>
  </si>
  <si>
    <t xml:space="preserve">claude-sonnet-5</t>
  </si>
  <si>
    <t xml:space="preserve">Input cost ($ / 1M tokens) — standard rate</t>
  </si>
  <si>
    <t xml:space="preserve">Output cost ($ / 1M tokens) — standard rate</t>
  </si>
  <si>
    <t xml:space="preserve">Introductory rate of $2.00 / $10.00 per 1M tokens applies through 31 Aug 2026. The standard rate above is used throughout this model, as the more conservative, sustained estimate. Verified against Anthropic's published pricing page as of Jul 2026.</t>
  </si>
  <si>
    <t xml:space="preserve">PER-LEAD ANALYSIS COST — measured from real usage, not theoretical</t>
  </si>
  <si>
    <t xml:space="preserve">Full-run cost, 43 leads, 6 categories + suggested actions (actual Anthropic billing)</t>
  </si>
  <si>
    <t xml:space="preserve">Leads analyzed in that run</t>
  </si>
  <si>
    <t xml:space="preserve">Average cost per lead (measured)</t>
  </si>
  <si>
    <t xml:space="preserve">EXECUTIVE SUMMARY COST — 1 call per Run/Refresh (estimated)</t>
  </si>
  <si>
    <t xml:space="preserve">Estimated input tokens</t>
  </si>
  <si>
    <t xml:space="preserve">Estimated output tokens</t>
  </si>
  <si>
    <t xml:space="preserve">Cost per summary</t>
  </si>
  <si>
    <t xml:space="preserve">GENERATE FOLLOW-UP EMAIL COST — on demand, per click (estimated)</t>
  </si>
  <si>
    <t xml:space="preserve">Cost per email generated</t>
  </si>
  <si>
    <t xml:space="preserve">MONTHLY VOLUME ASSUMPTIONS — steady-state AtliQ usage</t>
  </si>
  <si>
    <t xml:space="preserve">Total leads in pipeline</t>
  </si>
  <si>
    <t xml:space="preserve">Leads needing fresh analysis / week (new email or note activity)</t>
  </si>
  <si>
    <t xml:space="preserve">Weeks / month</t>
  </si>
  <si>
    <t xml:space="preserve">Fresh lead-analyses / month</t>
  </si>
  <si>
    <t xml:space="preserve">Run/Refresh clicks / month (~1 per business day)</t>
  </si>
  <si>
    <t xml:space="preserve">Follow-up emails generated / month</t>
  </si>
  <si>
    <t xml:space="preserve">MONTHLY COST PROJECTION</t>
  </si>
  <si>
    <t xml:space="preserve">Lead analysis cost / month</t>
  </si>
  <si>
    <t xml:space="preserve">Executive summary cost / month</t>
  </si>
  <si>
    <t xml:space="preserve">Follow-up email cost / month</t>
  </si>
  <si>
    <t xml:space="preserve">Total monthly cost</t>
  </si>
  <si>
    <t xml:space="preserve">Total annual cost</t>
  </si>
  <si>
    <t xml:space="preserve">SCENARIO ANALYSIS — monthly cost at different fresh-analysis volumes</t>
  </si>
  <si>
    <t xml:space="preserve">Scenario</t>
  </si>
  <si>
    <t xml:space="preserve">Fresh leads/week</t>
  </si>
  <si>
    <t xml:space="preserve">Lead analysis/mo</t>
  </si>
  <si>
    <t xml:space="preserve">Exec summary/mo</t>
  </si>
  <si>
    <t xml:space="preserve">Email/mo</t>
  </si>
  <si>
    <t xml:space="preserve">Total/mo</t>
  </si>
  <si>
    <t xml:space="preserve">Low</t>
  </si>
  <si>
    <t xml:space="preserve">Mid (matches assumptions above)</t>
  </si>
  <si>
    <t xml:space="preserve">High</t>
  </si>
  <si>
    <t xml:space="preserve">Low/High scenarios vary only the fresh-analysis volume (the largest cost driver); Refresh-click and email volumes are held constant at the assumptions above.</t>
  </si>
  <si>
    <t xml:space="preserve">NOTES &amp; ASSUMPTIONS</t>
  </si>
  <si>
    <t xml:space="preserve">• 24 Jul 2026: full 43-lead run on the original 4-category schema — actual Anthropic billing: $0.32 total.</t>
  </si>
  <si>
    <t xml:space="preserve">• Late Jul 2026, after adding Consider Deprioritizing + Suggested Next Action (6 categories): full 43-lead re-run — actual Anthropic billing: $3.00 total. This is the figure used for the measured per-lead cost above.</t>
  </si>
  <si>
    <t xml:space="preserve">• Both figures are real, from platform.claude.com → Cost, not projections — the per-lead average already reflects actual prompt length and output verbosity, so it does not need a separate token-count estimate.</t>
  </si>
  <si>
    <t xml:space="preserve">• Executive Summary and Generate Email costs ARE estimated (not yet measured at volume), since they are newer features — token counts are conservative based on their prompt design.</t>
  </si>
  <si>
    <t xml:space="preserve">• Monthly volume assumptions describe steady-state production use by AtliQ's sales team, not this capstone's testing usage, which was much lower.</t>
  </si>
  <si>
    <t xml:space="preserve">• Caching means only leads with genuinely new email/note activity trigger a fresh API call — an unchanged lead costs $0 on repeat runs.</t>
  </si>
  <si>
    <t xml:space="preserve">Cost Savings — AI Tool vs. Manual Review</t>
  </si>
  <si>
    <t xml:space="preserve">What this replaces: a founder or Jay manually re-reading emails and notes against the CRM</t>
  </si>
  <si>
    <t xml:space="preserve">MANUAL EFFORT BASELINE</t>
  </si>
  <si>
    <t xml:space="preserve">Manual review time per lead needing attention (minutes)</t>
  </si>
  <si>
    <t xml:space="preserve">Leads needing fresh review / week</t>
  </si>
  <si>
    <t xml:space="preserve">Manual review hours / week</t>
  </si>
  <si>
    <t xml:space="preserve">Manual review hours / month</t>
  </si>
  <si>
    <t xml:space="preserve">Blended hourly value of founder/seller time ($)</t>
  </si>
  <si>
    <t xml:space="preserve">Monthly human-equivalent cost</t>
  </si>
  <si>
    <t xml:space="preserve">AI TOOL COST</t>
  </si>
  <si>
    <t xml:space="preserve">Total AI tool cost / month (linked from Inference sheet)</t>
  </si>
  <si>
    <t xml:space="preserve">SAVINGS</t>
  </si>
  <si>
    <t xml:space="preserve">Total savings / month</t>
  </si>
  <si>
    <t xml:space="preserve">% savings</t>
  </si>
  <si>
    <t xml:space="preserve">BREAK-EVEN — how much manual time would need to shrink before this stops paying off</t>
  </si>
  <si>
    <t xml:space="preserve">Break-even manual review time per lead (minutes)</t>
  </si>
  <si>
    <t xml:space="preserve">At any manual review time above this many minutes/lead, the AI tool is cheaper. The assumed 8 min/lead is well above this line, so the tool is cost-positive even for very fast manual reviewers.</t>
  </si>
  <si>
    <t xml:space="preserve">• This compares the AI tool's real running cost against the time a person would spend manually cross-referencing the same leads — not against doing nothing.</t>
  </si>
  <si>
    <t xml:space="preserve">• 8 minutes/lead is a conservative estimate for reading linked emails/notes and comparing them to the CRM by hand; some leads (e.g. FinEdge Bank, with 3+ linked documents) would genuinely take longer.</t>
  </si>
  <si>
    <t xml:space="preserve">• $90/hour is a placeholder blended rate for founder/seller time — AtliQ should replace this with a real number before relying on this figure externally.</t>
  </si>
  <si>
    <t xml:space="preserve">• This is a supporting, illustrative metric — the PRD's actual North Star is stale high-value leads trending to zero, not cost savings alone.</t>
  </si>
  <si>
    <t xml:space="preserve">Model Choice, Infrastructure &amp; Key Assumptions</t>
  </si>
  <si>
    <t xml:space="preserve">MODEL CHOICE</t>
  </si>
  <si>
    <t xml:space="preserve">Which model?</t>
  </si>
  <si>
    <t xml:space="preserve">Claude Sonnet 5 (claude-sonnet-5), via the Anthropic API.</t>
  </si>
  <si>
    <t xml:space="preserve">Why this model?</t>
  </si>
  <si>
    <t xml:space="preserve">Strong instruction-following for the grounding/verbatim-quote guardrail (every finding must trace to real source text); native structured/schema-constrained output support; more than sufficient quality for extraction and comparison tasks at this scope.</t>
  </si>
  <si>
    <t xml:space="preserve">Why not RAG / embeddings?</t>
  </si>
  <si>
    <t xml:space="preserve">Each lead's linked-document set is small (a handful of emails/notes), so passing the full set directly in context is simpler and more reliable than building a retrieval pipeline for marginal benefit at this data volume. See AI PRD, Section 3.</t>
  </si>
  <si>
    <t xml:space="preserve">Why not fine-tuning?</t>
  </si>
  <si>
    <t xml:space="preserve">No labelled training data exists yet at the volume needed to fine-tune responsibly. Prompt + structured output is the right default for v1; revisit once real human-agreement data accumulates in production.</t>
  </si>
  <si>
    <t xml:space="preserve">Alternate model used during prototyping?</t>
  </si>
  <si>
    <t xml:space="preserve">Groq (Llama 3.3 70B) — free tier, used temporarily during development while Anthropic billing was being set up. Switched back to Claude Sonnet 5 once funded, since it's the intended production model.</t>
  </si>
  <si>
    <t xml:space="preserve">INFRASTRUCTURE</t>
  </si>
  <si>
    <t xml:space="preserve">Hosting</t>
  </si>
  <si>
    <t xml:space="preserve">Streamlit Community Cloud — free tier, $0/month.</t>
  </si>
  <si>
    <t xml:space="preserve">Code hosting</t>
  </si>
  <si>
    <t xml:space="preserve">GitHub — free, public repository.</t>
  </si>
  <si>
    <t xml:space="preserve">Storage / caching</t>
  </si>
  <si>
    <t xml:space="preserve">Local JSON files (analysis_cache.json, findings_history.json) — no database cost at this scale.</t>
  </si>
  <si>
    <t xml:space="preserve">Total infrastructure cost</t>
  </si>
  <si>
    <t xml:space="preserve">$0/month at prototype and early-pilot scale.</t>
  </si>
  <si>
    <t xml:space="preserve">REAL MEASURED DATA USED IN THIS ESTIMATE</t>
  </si>
  <si>
    <t xml:space="preserve">24 Jul 2026</t>
  </si>
  <si>
    <t xml:space="preserve">Full 43-lead run, original 4-category schema — actual Anthropic billing: $0.32.</t>
  </si>
  <si>
    <t xml:space="preserve">Late Jul 2026</t>
  </si>
  <si>
    <t xml:space="preserve">Full 43-lead re-run after adding 2 categories + suggested actions (6 categories total) — actual Anthropic billing: $3.00. Used as the basis for the measured per-lead cost in the Inference sheet.</t>
  </si>
  <si>
    <t xml:space="preserve">Source</t>
  </si>
  <si>
    <t xml:space="preserve">platform.claude.com → Cost — both figures are real billing data, not projections.</t>
  </si>
  <si>
    <t xml:space="preserve">KEY ASSUMPTIONS</t>
  </si>
  <si>
    <t xml:space="preserve">Adjustable — see yellow cells on the Inference and Cost Savings sheets.</t>
  </si>
  <si>
    <t xml:space="preserve">Pipeline size</t>
  </si>
  <si>
    <t xml:space="preserve">50 leads at steady state (up from the current 43, allowing for growth).</t>
  </si>
  <si>
    <t xml:space="preserve">Fresh analysis volume</t>
  </si>
  <si>
    <t xml:space="preserve">15 leads/week receive new email or meeting-note activity requiring re-analysis; the rest are served from cache at $0.</t>
  </si>
  <si>
    <t xml:space="preserve">Run frequency</t>
  </si>
  <si>
    <t xml:space="preserve">~22 Run/Refresh clicks/month (roughly once per business day).</t>
  </si>
  <si>
    <t xml:space="preserve">Email generation volume</t>
  </si>
  <si>
    <t xml:space="preserve">25 draft follow-up emails generated/month, reflecting typical weekly Urgent-lead volume.</t>
  </si>
</sst>
</file>

<file path=xl/styles.xml><?xml version="1.0" encoding="utf-8"?>
<styleSheet xmlns="http://schemas.openxmlformats.org/spreadsheetml/2006/main">
  <numFmts count="7">
    <numFmt numFmtId="164" formatCode="General"/>
    <numFmt numFmtId="165" formatCode="\$#,##0.00"/>
    <numFmt numFmtId="166" formatCode="0.0%"/>
    <numFmt numFmtId="167" formatCode="0.0\x"/>
    <numFmt numFmtId="168" formatCode="\$#,##0.0000"/>
    <numFmt numFmtId="169" formatCode="General"/>
    <numFmt numFmtId="170" formatCode="0.00"/>
  </numFmts>
  <fonts count="21">
    <font>
      <sz val="11"/>
      <color theme="1"/>
      <name val="Calibri"/>
      <family val="2"/>
      <charset val="1"/>
    </font>
    <font>
      <sz val="10"/>
      <name val="Arial"/>
      <family val="0"/>
    </font>
    <font>
      <sz val="10"/>
      <name val="Arial"/>
      <family val="0"/>
    </font>
    <font>
      <sz val="10"/>
      <name val="Arial"/>
      <family val="0"/>
    </font>
    <font>
      <b val="true"/>
      <sz val="18"/>
      <color rgb="FF1F2937"/>
      <name val="Arial"/>
      <family val="0"/>
      <charset val="1"/>
    </font>
    <font>
      <i val="true"/>
      <sz val="10"/>
      <color rgb="FF6B7280"/>
      <name val="Arial"/>
      <family val="0"/>
      <charset val="1"/>
    </font>
    <font>
      <sz val="9"/>
      <color rgb="FF6B7280"/>
      <name val="Arial"/>
      <family val="0"/>
      <charset val="1"/>
    </font>
    <font>
      <b val="true"/>
      <sz val="16"/>
      <color rgb="FF6D28D9"/>
      <name val="Arial"/>
      <family val="0"/>
      <charset val="1"/>
    </font>
    <font>
      <i val="true"/>
      <sz val="9"/>
      <color rgb="FF444444"/>
      <name val="Arial"/>
      <family val="0"/>
      <charset val="1"/>
    </font>
    <font>
      <b val="true"/>
      <sz val="10"/>
      <color rgb="FF6D28D9"/>
      <name val="Arial"/>
      <family val="0"/>
      <charset val="1"/>
    </font>
    <font>
      <b val="true"/>
      <sz val="22"/>
      <color rgb="FF047857"/>
      <name val="Arial"/>
      <family val="0"/>
      <charset val="1"/>
    </font>
    <font>
      <sz val="10"/>
      <color rgb="FF555555"/>
      <name val="Arial"/>
      <family val="0"/>
      <charset val="1"/>
    </font>
    <font>
      <sz val="9.5"/>
      <color rgb="FF333333"/>
      <name val="Arial"/>
      <family val="0"/>
      <charset val="1"/>
    </font>
    <font>
      <b val="true"/>
      <sz val="14"/>
      <color rgb="FF1F2937"/>
      <name val="Arial"/>
      <family val="0"/>
      <charset val="1"/>
    </font>
    <font>
      <b val="true"/>
      <sz val="10"/>
      <color rgb="FFFFFFFF"/>
      <name val="Arial"/>
      <family val="0"/>
      <charset val="1"/>
    </font>
    <font>
      <sz val="10"/>
      <color rgb="FF000000"/>
      <name val="Arial"/>
      <family val="0"/>
      <charset val="1"/>
    </font>
    <font>
      <b val="true"/>
      <sz val="10"/>
      <color rgb="FF000000"/>
      <name val="Arial"/>
      <family val="0"/>
      <charset val="1"/>
    </font>
    <font>
      <sz val="10"/>
      <color rgb="FF0000FF"/>
      <name val="Arial"/>
      <family val="0"/>
      <charset val="1"/>
    </font>
    <font>
      <b val="true"/>
      <sz val="9"/>
      <color rgb="FFFFFFFF"/>
      <name val="Arial"/>
      <family val="0"/>
      <charset val="1"/>
    </font>
    <font>
      <sz val="10"/>
      <color rgb="FF008000"/>
      <name val="Arial"/>
      <family val="0"/>
      <charset val="1"/>
    </font>
    <font>
      <b val="true"/>
      <sz val="10"/>
      <color rgb="FF008000"/>
      <name val="Arial"/>
      <family val="0"/>
      <charset val="1"/>
    </font>
  </fonts>
  <fills count="6">
    <fill>
      <patternFill patternType="none"/>
    </fill>
    <fill>
      <patternFill patternType="gray125"/>
    </fill>
    <fill>
      <patternFill patternType="solid">
        <fgColor rgb="FFF3F0FA"/>
        <bgColor rgb="FFFFFFFF"/>
      </patternFill>
    </fill>
    <fill>
      <patternFill patternType="solid">
        <fgColor rgb="FF1F2937"/>
        <bgColor rgb="FF333333"/>
      </patternFill>
    </fill>
    <fill>
      <patternFill patternType="solid">
        <fgColor rgb="FFFFFF00"/>
        <bgColor rgb="FFFFFF00"/>
      </patternFill>
    </fill>
    <fill>
      <patternFill patternType="solid">
        <fgColor rgb="FF6D28D9"/>
        <bgColor rgb="FF80008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true" indent="0" shrinkToFit="false"/>
      <protection locked="true" hidden="false"/>
    </xf>
    <xf numFmtId="165" fontId="7" fillId="2" borderId="1" xfId="0" applyFont="true" applyBorder="true" applyAlignment="false" applyProtection="false">
      <alignment horizontal="general" vertical="bottom" textRotation="0" wrapText="false" indent="0" shrinkToFit="false"/>
      <protection locked="true" hidden="false"/>
    </xf>
    <xf numFmtId="166" fontId="7" fillId="2"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bottom"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4" fillId="3" borderId="0"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5" fontId="15"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8" fontId="16" fillId="0" borderId="1" xfId="0" applyFont="true" applyBorder="true" applyAlignment="false" applyProtection="false">
      <alignment horizontal="general" vertical="bottom" textRotation="0" wrapText="false" indent="0" shrinkToFit="false"/>
      <protection locked="true" hidden="false"/>
    </xf>
    <xf numFmtId="164" fontId="17" fillId="4" borderId="1" xfId="0" applyFont="true" applyBorder="true" applyAlignment="false" applyProtection="false">
      <alignment horizontal="general" vertical="bottom" textRotation="0" wrapText="false" indent="0" shrinkToFit="false"/>
      <protection locked="true" hidden="false"/>
    </xf>
    <xf numFmtId="165" fontId="16" fillId="0" borderId="1" xfId="0" applyFont="true" applyBorder="true" applyAlignment="fals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center" vertical="bottom" textRotation="0" wrapText="tru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9" fontId="19" fillId="0" borderId="1" xfId="0" applyFont="true" applyBorder="true" applyAlignment="false" applyProtection="false">
      <alignment horizontal="general" vertical="bottom" textRotation="0" wrapText="false" indent="0" shrinkToFit="false"/>
      <protection locked="true" hidden="false"/>
    </xf>
    <xf numFmtId="170" fontId="15" fillId="0" borderId="1" xfId="0" applyFont="true" applyBorder="true" applyAlignment="false" applyProtection="false">
      <alignment horizontal="general" vertical="bottom" textRotation="0" wrapText="false" indent="0" shrinkToFit="false"/>
      <protection locked="true" hidden="false"/>
    </xf>
    <xf numFmtId="165" fontId="17" fillId="4" borderId="1" xfId="0" applyFont="true" applyBorder="true" applyAlignment="false" applyProtection="false">
      <alignment horizontal="general" vertical="bottom" textRotation="0" wrapText="false" indent="0" shrinkToFit="false"/>
      <protection locked="true" hidden="false"/>
    </xf>
    <xf numFmtId="165" fontId="20" fillId="0" borderId="1" xfId="0" applyFont="true" applyBorder="true" applyAlignment="false" applyProtection="false">
      <alignment horizontal="general" vertical="bottom" textRotation="0" wrapText="false" indent="0" shrinkToFit="false"/>
      <protection locked="true" hidden="false"/>
    </xf>
    <xf numFmtId="166" fontId="16" fillId="0" borderId="1"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6D28D9"/>
      <rgbColor rgb="FF047857"/>
      <rgbColor rgb="FFBFBFBF"/>
      <rgbColor rgb="FF555555"/>
      <rgbColor rgb="FF9999FF"/>
      <rgbColor rgb="FF993366"/>
      <rgbColor rgb="FFF3F0F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003366"/>
      <rgbColor rgb="FF339966"/>
      <rgbColor rgb="FF003300"/>
      <rgbColor rgb="FF1F2937"/>
      <rgbColor rgb="FF993300"/>
      <rgbColor rgb="FF993366"/>
      <rgbColor rgb="FF44444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6" min="2" style="0" width="17"/>
    <col collapsed="false" customWidth="true" hidden="false" outlineLevel="0" max="7" min="7" style="0" width="3"/>
  </cols>
  <sheetData>
    <row r="2" customFormat="false" ht="22.05" hidden="false" customHeight="false" outlineLevel="0" collapsed="false">
      <c r="B2" s="1" t="s">
        <v>0</v>
      </c>
      <c r="C2" s="1"/>
      <c r="D2" s="1"/>
      <c r="E2" s="1"/>
      <c r="F2" s="1"/>
    </row>
    <row r="3" customFormat="false" ht="15" hidden="false" customHeight="false" outlineLevel="0" collapsed="false">
      <c r="B3" s="2" t="s">
        <v>1</v>
      </c>
      <c r="C3" s="2"/>
      <c r="D3" s="2"/>
      <c r="E3" s="2"/>
      <c r="F3" s="2"/>
    </row>
    <row r="5" customFormat="false" ht="22.35" hidden="false" customHeight="false" outlineLevel="0" collapsed="false">
      <c r="B5" s="3" t="s">
        <v>2</v>
      </c>
      <c r="C5" s="3" t="s">
        <v>3</v>
      </c>
      <c r="D5" s="3" t="s">
        <v>4</v>
      </c>
      <c r="E5" s="3" t="s">
        <v>5</v>
      </c>
      <c r="F5" s="3" t="s">
        <v>6</v>
      </c>
    </row>
    <row r="6" customFormat="false" ht="19.7" hidden="false" customHeight="false" outlineLevel="0" collapsed="false">
      <c r="B6" s="4" t="n">
        <f aca="false">Inference!B39</f>
        <v>4.84774534883721</v>
      </c>
      <c r="C6" s="4" t="n">
        <f aca="false">Inference!B40</f>
        <v>58.1729441860465</v>
      </c>
      <c r="D6" s="4" t="n">
        <f aca="false">'Cost Savings'!B17</f>
        <v>774.552254651163</v>
      </c>
      <c r="E6" s="5" t="n">
        <f aca="false">'Cost Savings'!B18</f>
        <v>0.993780157366132</v>
      </c>
      <c r="F6" s="4" t="n">
        <f aca="false">'Cost Savings'!B19</f>
        <v>9294.62705581395</v>
      </c>
    </row>
    <row r="7" customFormat="false" ht="22.35" hidden="false" customHeight="false" outlineLevel="0" collapsed="false">
      <c r="B7" s="6" t="s">
        <v>7</v>
      </c>
      <c r="C7" s="6" t="s">
        <v>8</v>
      </c>
      <c r="D7" s="6" t="s">
        <v>9</v>
      </c>
      <c r="E7" s="6" t="s">
        <v>10</v>
      </c>
      <c r="F7" s="6" t="s">
        <v>11</v>
      </c>
    </row>
    <row r="10" customFormat="false" ht="15" hidden="false" customHeight="false" outlineLevel="0" collapsed="false">
      <c r="B10" s="7" t="s">
        <v>12</v>
      </c>
      <c r="C10" s="7"/>
      <c r="D10" s="7"/>
    </row>
    <row r="11" customFormat="false" ht="26.8" hidden="false" customHeight="false" outlineLevel="0" collapsed="false">
      <c r="B11" s="8" t="n">
        <f aca="false">'Cost Savings'!B17/Inference!B39</f>
        <v>159.775771810487</v>
      </c>
      <c r="C11" s="9" t="s">
        <v>13</v>
      </c>
      <c r="D11" s="9"/>
      <c r="E11" s="9"/>
      <c r="F11" s="9"/>
    </row>
    <row r="14" customFormat="false" ht="15" hidden="false" customHeight="false" outlineLevel="0" collapsed="false">
      <c r="B14" s="10" t="s">
        <v>14</v>
      </c>
    </row>
    <row r="15" customFormat="false" ht="27.75" hidden="false" customHeight="true" outlineLevel="0" collapsed="false">
      <c r="B15" s="10" t="s">
        <v>15</v>
      </c>
      <c r="C15" s="11" t="s">
        <v>16</v>
      </c>
      <c r="D15" s="11"/>
      <c r="E15" s="11"/>
      <c r="F15" s="11"/>
    </row>
    <row r="16" customFormat="false" ht="27.75" hidden="false" customHeight="true" outlineLevel="0" collapsed="false">
      <c r="B16" s="10" t="s">
        <v>17</v>
      </c>
      <c r="C16" s="11" t="s">
        <v>18</v>
      </c>
      <c r="D16" s="11"/>
      <c r="E16" s="11"/>
      <c r="F16" s="11"/>
    </row>
    <row r="17" customFormat="false" ht="27.75" hidden="false" customHeight="true" outlineLevel="0" collapsed="false">
      <c r="B17" s="10" t="s">
        <v>19</v>
      </c>
      <c r="C17" s="11" t="s">
        <v>20</v>
      </c>
      <c r="D17" s="11"/>
      <c r="E17" s="11"/>
      <c r="F17" s="11"/>
    </row>
    <row r="19" customFormat="false" ht="15" hidden="false" customHeight="false" outlineLevel="0" collapsed="false">
      <c r="B19" s="12" t="s">
        <v>21</v>
      </c>
      <c r="C19" s="12"/>
      <c r="D19" s="12"/>
      <c r="E19" s="12"/>
      <c r="F19" s="12"/>
    </row>
  </sheetData>
  <mergeCells count="8">
    <mergeCell ref="B2:F2"/>
    <mergeCell ref="B3:F3"/>
    <mergeCell ref="B10:D10"/>
    <mergeCell ref="C11:F11"/>
    <mergeCell ref="C15:F15"/>
    <mergeCell ref="C16:F16"/>
    <mergeCell ref="C17:F17"/>
    <mergeCell ref="B19: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6"/>
    <col collapsed="false" customWidth="true" hidden="false" outlineLevel="0" max="3" min="3" style="0" width="3"/>
    <col collapsed="false" customWidth="true" hidden="false" outlineLevel="0" max="4" min="4" style="0" width="42"/>
    <col collapsed="false" customWidth="true" hidden="false" outlineLevel="0" max="6" min="5" style="0" width="14"/>
  </cols>
  <sheetData>
    <row r="1" customFormat="false" ht="17.35" hidden="false" customHeight="false" outlineLevel="0" collapsed="false">
      <c r="A1" s="13" t="s">
        <v>22</v>
      </c>
    </row>
    <row r="2" customFormat="false" ht="15" hidden="false" customHeight="false" outlineLevel="0" collapsed="false">
      <c r="A2" s="14" t="s">
        <v>23</v>
      </c>
    </row>
    <row r="3" customFormat="false" ht="15" hidden="false" customHeight="false" outlineLevel="0" collapsed="false">
      <c r="A3" s="15" t="s">
        <v>24</v>
      </c>
    </row>
    <row r="5" customFormat="false" ht="15" hidden="false" customHeight="false" outlineLevel="0" collapsed="false">
      <c r="A5" s="16" t="s">
        <v>25</v>
      </c>
      <c r="B5" s="16"/>
      <c r="C5" s="16"/>
      <c r="D5" s="16"/>
      <c r="E5" s="16"/>
      <c r="F5" s="16"/>
    </row>
    <row r="6" customFormat="false" ht="15" hidden="false" customHeight="false" outlineLevel="0" collapsed="false">
      <c r="A6" s="17" t="s">
        <v>26</v>
      </c>
      <c r="B6" s="18" t="s">
        <v>27</v>
      </c>
    </row>
    <row r="7" customFormat="false" ht="15" hidden="false" customHeight="false" outlineLevel="0" collapsed="false">
      <c r="A7" s="17" t="s">
        <v>28</v>
      </c>
      <c r="B7" s="19" t="n">
        <v>3</v>
      </c>
    </row>
    <row r="8" customFormat="false" ht="15" hidden="false" customHeight="false" outlineLevel="0" collapsed="false">
      <c r="A8" s="17" t="s">
        <v>29</v>
      </c>
      <c r="B8" s="19" t="n">
        <v>15</v>
      </c>
    </row>
    <row r="10" customFormat="false" ht="22.35" hidden="false" customHeight="true" outlineLevel="0" collapsed="false">
      <c r="A10" s="20" t="s">
        <v>30</v>
      </c>
      <c r="B10" s="20"/>
      <c r="C10" s="20"/>
      <c r="D10" s="20"/>
      <c r="E10" s="20"/>
      <c r="F10" s="20"/>
    </row>
    <row r="12" customFormat="false" ht="15" hidden="false" customHeight="false" outlineLevel="0" collapsed="false">
      <c r="A12" s="16" t="s">
        <v>31</v>
      </c>
      <c r="B12" s="16"/>
      <c r="C12" s="16"/>
      <c r="D12" s="16"/>
      <c r="E12" s="16"/>
      <c r="F12" s="16"/>
    </row>
    <row r="13" customFormat="false" ht="23.85" hidden="false" customHeight="false" outlineLevel="0" collapsed="false">
      <c r="A13" s="17" t="s">
        <v>32</v>
      </c>
      <c r="B13" s="19" t="n">
        <v>3</v>
      </c>
    </row>
    <row r="14" customFormat="false" ht="15" hidden="false" customHeight="false" outlineLevel="0" collapsed="false">
      <c r="A14" s="17" t="s">
        <v>33</v>
      </c>
      <c r="B14" s="18" t="n">
        <v>43</v>
      </c>
    </row>
    <row r="15" customFormat="false" ht="15" hidden="false" customHeight="false" outlineLevel="0" collapsed="false">
      <c r="A15" s="17" t="s">
        <v>34</v>
      </c>
      <c r="B15" s="21" t="n">
        <f aca="false">B13/B14</f>
        <v>0.0697674418604651</v>
      </c>
    </row>
    <row r="17" customFormat="false" ht="15" hidden="false" customHeight="false" outlineLevel="0" collapsed="false">
      <c r="A17" s="16" t="s">
        <v>35</v>
      </c>
      <c r="B17" s="16"/>
      <c r="C17" s="16"/>
      <c r="D17" s="16"/>
      <c r="E17" s="16"/>
      <c r="F17" s="16"/>
    </row>
    <row r="18" customFormat="false" ht="15" hidden="false" customHeight="false" outlineLevel="0" collapsed="false">
      <c r="A18" s="17" t="s">
        <v>36</v>
      </c>
      <c r="B18" s="18" t="n">
        <v>600</v>
      </c>
    </row>
    <row r="19" customFormat="false" ht="15" hidden="false" customHeight="false" outlineLevel="0" collapsed="false">
      <c r="A19" s="17" t="s">
        <v>37</v>
      </c>
      <c r="B19" s="18" t="n">
        <v>350</v>
      </c>
    </row>
    <row r="20" customFormat="false" ht="15" hidden="false" customHeight="false" outlineLevel="0" collapsed="false">
      <c r="A20" s="17" t="s">
        <v>38</v>
      </c>
      <c r="B20" s="21" t="n">
        <f aca="false">(B18*$B$7+B19*$B$8)/1000000</f>
        <v>0.00705</v>
      </c>
    </row>
    <row r="22" customFormat="false" ht="15" hidden="false" customHeight="false" outlineLevel="0" collapsed="false">
      <c r="A22" s="16" t="s">
        <v>39</v>
      </c>
      <c r="B22" s="16"/>
      <c r="C22" s="16"/>
      <c r="D22" s="16"/>
      <c r="E22" s="16"/>
      <c r="F22" s="16"/>
    </row>
    <row r="23" customFormat="false" ht="15" hidden="false" customHeight="false" outlineLevel="0" collapsed="false">
      <c r="A23" s="17" t="s">
        <v>36</v>
      </c>
      <c r="B23" s="18" t="n">
        <v>900</v>
      </c>
    </row>
    <row r="24" customFormat="false" ht="15" hidden="false" customHeight="false" outlineLevel="0" collapsed="false">
      <c r="A24" s="17" t="s">
        <v>37</v>
      </c>
      <c r="B24" s="18" t="n">
        <v>250</v>
      </c>
    </row>
    <row r="25" customFormat="false" ht="15" hidden="false" customHeight="false" outlineLevel="0" collapsed="false">
      <c r="A25" s="17" t="s">
        <v>40</v>
      </c>
      <c r="B25" s="21" t="n">
        <f aca="false">(B23*$B$7+B24*$B$8)/1000000</f>
        <v>0.00645</v>
      </c>
    </row>
    <row r="27" customFormat="false" ht="15" hidden="false" customHeight="false" outlineLevel="0" collapsed="false">
      <c r="A27" s="16" t="s">
        <v>41</v>
      </c>
      <c r="B27" s="16"/>
      <c r="C27" s="16"/>
      <c r="D27" s="16"/>
      <c r="E27" s="16"/>
      <c r="F27" s="16"/>
    </row>
    <row r="28" customFormat="false" ht="15" hidden="false" customHeight="false" outlineLevel="0" collapsed="false">
      <c r="A28" s="17" t="s">
        <v>42</v>
      </c>
      <c r="B28" s="22" t="n">
        <v>50</v>
      </c>
    </row>
    <row r="29" customFormat="false" ht="15" hidden="false" customHeight="false" outlineLevel="0" collapsed="false">
      <c r="A29" s="17" t="s">
        <v>43</v>
      </c>
      <c r="B29" s="22" t="n">
        <v>15</v>
      </c>
    </row>
    <row r="30" customFormat="false" ht="15" hidden="false" customHeight="false" outlineLevel="0" collapsed="false">
      <c r="A30" s="17" t="s">
        <v>44</v>
      </c>
      <c r="B30" s="18" t="n">
        <v>4.33</v>
      </c>
    </row>
    <row r="31" customFormat="false" ht="15" hidden="false" customHeight="false" outlineLevel="0" collapsed="false">
      <c r="A31" s="17" t="s">
        <v>45</v>
      </c>
      <c r="B31" s="18" t="n">
        <f aca="false">B29*B30</f>
        <v>64.95</v>
      </c>
    </row>
    <row r="32" customFormat="false" ht="15" hidden="false" customHeight="false" outlineLevel="0" collapsed="false">
      <c r="A32" s="17" t="s">
        <v>46</v>
      </c>
      <c r="B32" s="22" t="n">
        <v>22</v>
      </c>
    </row>
    <row r="33" customFormat="false" ht="15" hidden="false" customHeight="false" outlineLevel="0" collapsed="false">
      <c r="A33" s="17" t="s">
        <v>47</v>
      </c>
      <c r="B33" s="22" t="n">
        <v>25</v>
      </c>
    </row>
    <row r="35" customFormat="false" ht="15" hidden="false" customHeight="false" outlineLevel="0" collapsed="false">
      <c r="A35" s="16" t="s">
        <v>48</v>
      </c>
      <c r="B35" s="16"/>
      <c r="C35" s="16"/>
      <c r="D35" s="16"/>
      <c r="E35" s="16"/>
      <c r="F35" s="16"/>
    </row>
    <row r="36" customFormat="false" ht="15" hidden="false" customHeight="false" outlineLevel="0" collapsed="false">
      <c r="A36" s="17" t="s">
        <v>49</v>
      </c>
      <c r="B36" s="19" t="n">
        <f aca="false">B31*B15</f>
        <v>4.53139534883721</v>
      </c>
    </row>
    <row r="37" customFormat="false" ht="15" hidden="false" customHeight="false" outlineLevel="0" collapsed="false">
      <c r="A37" s="17" t="s">
        <v>50</v>
      </c>
      <c r="B37" s="19" t="n">
        <f aca="false">B32*B20</f>
        <v>0.1551</v>
      </c>
    </row>
    <row r="38" customFormat="false" ht="15" hidden="false" customHeight="false" outlineLevel="0" collapsed="false">
      <c r="A38" s="17" t="s">
        <v>51</v>
      </c>
      <c r="B38" s="19" t="n">
        <f aca="false">B33*B25</f>
        <v>0.16125</v>
      </c>
    </row>
    <row r="39" customFormat="false" ht="15" hidden="false" customHeight="false" outlineLevel="0" collapsed="false">
      <c r="A39" s="17" t="s">
        <v>52</v>
      </c>
      <c r="B39" s="23" t="n">
        <f aca="false">SUM(B36:B38)</f>
        <v>4.84774534883721</v>
      </c>
    </row>
    <row r="40" customFormat="false" ht="15" hidden="false" customHeight="false" outlineLevel="0" collapsed="false">
      <c r="A40" s="17" t="s">
        <v>53</v>
      </c>
      <c r="B40" s="23" t="n">
        <f aca="false">B39*12</f>
        <v>58.1729441860465</v>
      </c>
    </row>
    <row r="42" customFormat="false" ht="15" hidden="false" customHeight="false" outlineLevel="0" collapsed="false">
      <c r="A42" s="16" t="s">
        <v>54</v>
      </c>
      <c r="B42" s="16"/>
      <c r="C42" s="16"/>
      <c r="D42" s="16"/>
      <c r="E42" s="16"/>
      <c r="F42" s="16"/>
    </row>
    <row r="44" customFormat="false" ht="74.6" hidden="false" customHeight="false" outlineLevel="0" collapsed="false">
      <c r="A44" s="24" t="s">
        <v>55</v>
      </c>
      <c r="B44" s="24" t="s">
        <v>56</v>
      </c>
      <c r="C44" s="24" t="s">
        <v>57</v>
      </c>
      <c r="D44" s="24" t="s">
        <v>58</v>
      </c>
      <c r="E44" s="24" t="s">
        <v>59</v>
      </c>
      <c r="F44" s="24" t="s">
        <v>60</v>
      </c>
    </row>
    <row r="45" customFormat="false" ht="15" hidden="false" customHeight="false" outlineLevel="0" collapsed="false">
      <c r="A45" s="18" t="s">
        <v>61</v>
      </c>
      <c r="B45" s="22" t="n">
        <v>10</v>
      </c>
      <c r="C45" s="25" t="n">
        <f aca="false">B45*$B$30*$B$15</f>
        <v>3.02093023255814</v>
      </c>
      <c r="D45" s="25" t="n">
        <f aca="false">$B$32*$B$20</f>
        <v>0.1551</v>
      </c>
      <c r="E45" s="25" t="n">
        <f aca="false">$B$33*$B$25</f>
        <v>0.16125</v>
      </c>
      <c r="F45" s="23" t="n">
        <f aca="false">SUM(C45:E45)</f>
        <v>3.33728023255814</v>
      </c>
    </row>
    <row r="46" customFormat="false" ht="15" hidden="false" customHeight="false" outlineLevel="0" collapsed="false">
      <c r="A46" s="18" t="s">
        <v>62</v>
      </c>
      <c r="B46" s="26" t="n">
        <f aca="false">B29</f>
        <v>15</v>
      </c>
      <c r="C46" s="25" t="n">
        <f aca="false">B46*$B$30*$B$15</f>
        <v>4.53139534883721</v>
      </c>
      <c r="D46" s="25" t="n">
        <f aca="false">$B$32*$B$20</f>
        <v>0.1551</v>
      </c>
      <c r="E46" s="25" t="n">
        <f aca="false">$B$33*$B$25</f>
        <v>0.16125</v>
      </c>
      <c r="F46" s="23" t="n">
        <f aca="false">SUM(C46:E46)</f>
        <v>4.84774534883721</v>
      </c>
    </row>
    <row r="47" customFormat="false" ht="15" hidden="false" customHeight="false" outlineLevel="0" collapsed="false">
      <c r="A47" s="18" t="s">
        <v>63</v>
      </c>
      <c r="B47" s="22" t="n">
        <v>25</v>
      </c>
      <c r="C47" s="25" t="n">
        <f aca="false">B47*$B$30*$B$15</f>
        <v>7.55232558139535</v>
      </c>
      <c r="D47" s="25" t="n">
        <f aca="false">$B$32*$B$20</f>
        <v>0.1551</v>
      </c>
      <c r="E47" s="25" t="n">
        <f aca="false">$B$33*$B$25</f>
        <v>0.16125</v>
      </c>
      <c r="F47" s="23" t="n">
        <f aca="false">SUM(C47:E47)</f>
        <v>7.86867558139535</v>
      </c>
    </row>
    <row r="49" customFormat="false" ht="15" hidden="false" customHeight="true" outlineLevel="0" collapsed="false">
      <c r="A49" s="20" t="s">
        <v>64</v>
      </c>
      <c r="B49" s="20"/>
      <c r="C49" s="20"/>
      <c r="D49" s="20"/>
      <c r="E49" s="20"/>
      <c r="F49" s="20"/>
    </row>
    <row r="51" customFormat="false" ht="15" hidden="false" customHeight="false" outlineLevel="0" collapsed="false">
      <c r="A51" s="16" t="s">
        <v>65</v>
      </c>
      <c r="B51" s="16"/>
      <c r="C51" s="16"/>
      <c r="D51" s="16"/>
      <c r="E51" s="16"/>
      <c r="F51" s="16"/>
    </row>
    <row r="52" customFormat="false" ht="15" hidden="false" customHeight="true" outlineLevel="0" collapsed="false">
      <c r="A52" s="20" t="s">
        <v>66</v>
      </c>
      <c r="B52" s="20"/>
      <c r="C52" s="20"/>
      <c r="D52" s="20"/>
      <c r="E52" s="20"/>
      <c r="F52" s="20"/>
    </row>
    <row r="53" customFormat="false" ht="22.35" hidden="false" customHeight="true" outlineLevel="0" collapsed="false">
      <c r="A53" s="20" t="s">
        <v>67</v>
      </c>
      <c r="B53" s="20"/>
      <c r="C53" s="20"/>
      <c r="D53" s="20"/>
      <c r="E53" s="20"/>
      <c r="F53" s="20"/>
    </row>
    <row r="54" customFormat="false" ht="22.35" hidden="false" customHeight="true" outlineLevel="0" collapsed="false">
      <c r="A54" s="20" t="s">
        <v>68</v>
      </c>
      <c r="B54" s="20"/>
      <c r="C54" s="20"/>
      <c r="D54" s="20"/>
      <c r="E54" s="20"/>
      <c r="F54" s="20"/>
    </row>
    <row r="55" customFormat="false" ht="15" hidden="false" customHeight="true" outlineLevel="0" collapsed="false">
      <c r="A55" s="20" t="s">
        <v>69</v>
      </c>
      <c r="B55" s="20"/>
      <c r="C55" s="20"/>
      <c r="D55" s="20"/>
      <c r="E55" s="20"/>
      <c r="F55" s="20"/>
    </row>
    <row r="56" customFormat="false" ht="15" hidden="false" customHeight="true" outlineLevel="0" collapsed="false">
      <c r="A56" s="20" t="s">
        <v>70</v>
      </c>
      <c r="B56" s="20"/>
      <c r="C56" s="20"/>
      <c r="D56" s="20"/>
      <c r="E56" s="20"/>
      <c r="F56" s="20"/>
    </row>
    <row r="57" customFormat="false" ht="15" hidden="false" customHeight="true" outlineLevel="0" collapsed="false">
      <c r="A57" s="20" t="s">
        <v>71</v>
      </c>
      <c r="B57" s="20"/>
      <c r="C57" s="20"/>
      <c r="D57" s="20"/>
      <c r="E57" s="20"/>
      <c r="F57" s="20"/>
    </row>
  </sheetData>
  <mergeCells count="16">
    <mergeCell ref="A5:F5"/>
    <mergeCell ref="A10:F10"/>
    <mergeCell ref="A12:F12"/>
    <mergeCell ref="A17:F17"/>
    <mergeCell ref="A22:F22"/>
    <mergeCell ref="A27:F27"/>
    <mergeCell ref="A35:F35"/>
    <mergeCell ref="A42:F42"/>
    <mergeCell ref="A49:F49"/>
    <mergeCell ref="A51:F51"/>
    <mergeCell ref="A52:F52"/>
    <mergeCell ref="A53:F53"/>
    <mergeCell ref="A54:F54"/>
    <mergeCell ref="A55:F55"/>
    <mergeCell ref="A56:F56"/>
    <mergeCell ref="A57:F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6"/>
    <col collapsed="false" customWidth="true" hidden="false" outlineLevel="0" max="3" min="3" style="0" width="3"/>
    <col collapsed="false" customWidth="true" hidden="false" outlineLevel="0" max="4" min="4" style="0" width="42"/>
    <col collapsed="false" customWidth="true" hidden="false" outlineLevel="0" max="6" min="5" style="0" width="14"/>
  </cols>
  <sheetData>
    <row r="1" customFormat="false" ht="17.35" hidden="false" customHeight="false" outlineLevel="0" collapsed="false">
      <c r="A1" s="13" t="s">
        <v>72</v>
      </c>
    </row>
    <row r="2" customFormat="false" ht="15" hidden="false" customHeight="false" outlineLevel="0" collapsed="false">
      <c r="A2" s="14" t="s">
        <v>73</v>
      </c>
    </row>
    <row r="4" customFormat="false" ht="15" hidden="false" customHeight="false" outlineLevel="0" collapsed="false">
      <c r="A4" s="16" t="s">
        <v>74</v>
      </c>
      <c r="B4" s="16"/>
      <c r="C4" s="16"/>
      <c r="D4" s="16"/>
      <c r="E4" s="16"/>
      <c r="F4" s="16"/>
    </row>
    <row r="5" customFormat="false" ht="15" hidden="false" customHeight="false" outlineLevel="0" collapsed="false">
      <c r="A5" s="17" t="s">
        <v>75</v>
      </c>
      <c r="B5" s="22" t="n">
        <v>8</v>
      </c>
    </row>
    <row r="6" customFormat="false" ht="15" hidden="false" customHeight="false" outlineLevel="0" collapsed="false">
      <c r="A6" s="17" t="s">
        <v>76</v>
      </c>
      <c r="B6" s="26" t="n">
        <f aca="false">Inference!B29</f>
        <v>15</v>
      </c>
    </row>
    <row r="7" customFormat="false" ht="15" hidden="false" customHeight="false" outlineLevel="0" collapsed="false">
      <c r="A7" s="17" t="s">
        <v>77</v>
      </c>
      <c r="B7" s="27" t="n">
        <f aca="false">B5*B6/60</f>
        <v>2</v>
      </c>
    </row>
    <row r="8" customFormat="false" ht="15" hidden="false" customHeight="false" outlineLevel="0" collapsed="false">
      <c r="A8" s="17" t="s">
        <v>44</v>
      </c>
      <c r="B8" s="26" t="n">
        <f aca="false">Inference!B30</f>
        <v>4.33</v>
      </c>
    </row>
    <row r="9" customFormat="false" ht="15" hidden="false" customHeight="false" outlineLevel="0" collapsed="false">
      <c r="A9" s="17" t="s">
        <v>78</v>
      </c>
      <c r="B9" s="27" t="n">
        <f aca="false">B7*B8</f>
        <v>8.66</v>
      </c>
    </row>
    <row r="10" customFormat="false" ht="15" hidden="false" customHeight="false" outlineLevel="0" collapsed="false">
      <c r="A10" s="17" t="s">
        <v>79</v>
      </c>
      <c r="B10" s="28" t="n">
        <v>90</v>
      </c>
    </row>
    <row r="11" customFormat="false" ht="15" hidden="false" customHeight="false" outlineLevel="0" collapsed="false">
      <c r="A11" s="17" t="s">
        <v>80</v>
      </c>
      <c r="B11" s="23" t="n">
        <f aca="false">B9*B10</f>
        <v>779.4</v>
      </c>
    </row>
    <row r="13" customFormat="false" ht="15" hidden="false" customHeight="false" outlineLevel="0" collapsed="false">
      <c r="A13" s="16" t="s">
        <v>81</v>
      </c>
      <c r="B13" s="16"/>
      <c r="C13" s="16"/>
      <c r="D13" s="16"/>
      <c r="E13" s="16"/>
      <c r="F13" s="16"/>
    </row>
    <row r="14" customFormat="false" ht="15" hidden="false" customHeight="false" outlineLevel="0" collapsed="false">
      <c r="A14" s="17" t="s">
        <v>82</v>
      </c>
      <c r="B14" s="29" t="n">
        <f aca="false">Inference!B39</f>
        <v>4.84774534883721</v>
      </c>
    </row>
    <row r="16" customFormat="false" ht="15" hidden="false" customHeight="false" outlineLevel="0" collapsed="false">
      <c r="A16" s="16" t="s">
        <v>83</v>
      </c>
      <c r="B16" s="16"/>
      <c r="C16" s="16"/>
      <c r="D16" s="16"/>
      <c r="E16" s="16"/>
      <c r="F16" s="16"/>
    </row>
    <row r="17" customFormat="false" ht="15" hidden="false" customHeight="false" outlineLevel="0" collapsed="false">
      <c r="A17" s="17" t="s">
        <v>84</v>
      </c>
      <c r="B17" s="23" t="n">
        <f aca="false">B11-B14</f>
        <v>774.552254651163</v>
      </c>
    </row>
    <row r="18" customFormat="false" ht="15" hidden="false" customHeight="false" outlineLevel="0" collapsed="false">
      <c r="A18" s="17" t="s">
        <v>85</v>
      </c>
      <c r="B18" s="30" t="n">
        <f aca="false">B17/B11</f>
        <v>0.993780157366132</v>
      </c>
    </row>
    <row r="19" customFormat="false" ht="15" hidden="false" customHeight="false" outlineLevel="0" collapsed="false">
      <c r="A19" s="17" t="s">
        <v>6</v>
      </c>
      <c r="B19" s="23" t="n">
        <f aca="false">B17*12</f>
        <v>9294.62705581395</v>
      </c>
    </row>
    <row r="21" customFormat="false" ht="15" hidden="false" customHeight="false" outlineLevel="0" collapsed="false">
      <c r="A21" s="16" t="s">
        <v>86</v>
      </c>
      <c r="B21" s="16"/>
      <c r="C21" s="16"/>
      <c r="D21" s="16"/>
      <c r="E21" s="16"/>
      <c r="F21" s="16"/>
    </row>
    <row r="22" customFormat="false" ht="15" hidden="false" customHeight="false" outlineLevel="0" collapsed="false">
      <c r="A22" s="17" t="s">
        <v>87</v>
      </c>
      <c r="B22" s="27" t="n">
        <f aca="false">B14*60/(B6*B8*B10)</f>
        <v>0.049758741070949</v>
      </c>
    </row>
    <row r="23" customFormat="false" ht="15" hidden="false" customHeight="true" outlineLevel="0" collapsed="false">
      <c r="A23" s="20" t="s">
        <v>88</v>
      </c>
      <c r="B23" s="20"/>
      <c r="C23" s="20"/>
      <c r="D23" s="20"/>
      <c r="E23" s="20"/>
      <c r="F23" s="20"/>
    </row>
    <row r="25" customFormat="false" ht="15" hidden="false" customHeight="false" outlineLevel="0" collapsed="false">
      <c r="A25" s="16" t="s">
        <v>65</v>
      </c>
      <c r="B25" s="16"/>
      <c r="C25" s="16"/>
      <c r="D25" s="16"/>
      <c r="E25" s="16"/>
      <c r="F25" s="16"/>
    </row>
    <row r="26" customFormat="false" ht="15" hidden="false" customHeight="true" outlineLevel="0" collapsed="false">
      <c r="A26" s="20" t="s">
        <v>89</v>
      </c>
      <c r="B26" s="20"/>
      <c r="C26" s="20"/>
      <c r="D26" s="20"/>
      <c r="E26" s="20"/>
      <c r="F26" s="20"/>
    </row>
    <row r="27" customFormat="false" ht="22.35" hidden="false" customHeight="true" outlineLevel="0" collapsed="false">
      <c r="A27" s="20" t="s">
        <v>90</v>
      </c>
      <c r="B27" s="20"/>
      <c r="C27" s="20"/>
      <c r="D27" s="20"/>
      <c r="E27" s="20"/>
      <c r="F27" s="20"/>
    </row>
    <row r="28" customFormat="false" ht="15" hidden="false" customHeight="true" outlineLevel="0" collapsed="false">
      <c r="A28" s="20" t="s">
        <v>91</v>
      </c>
      <c r="B28" s="20"/>
      <c r="C28" s="20"/>
      <c r="D28" s="20"/>
      <c r="E28" s="20"/>
      <c r="F28" s="20"/>
    </row>
    <row r="29" customFormat="false" ht="15" hidden="false" customHeight="true" outlineLevel="0" collapsed="false">
      <c r="A29" s="20" t="s">
        <v>92</v>
      </c>
      <c r="B29" s="20"/>
      <c r="C29" s="20"/>
      <c r="D29" s="20"/>
      <c r="E29" s="20"/>
      <c r="F29" s="20"/>
    </row>
  </sheetData>
  <mergeCells count="10">
    <mergeCell ref="A4:F4"/>
    <mergeCell ref="A13:F13"/>
    <mergeCell ref="A16:F16"/>
    <mergeCell ref="A21:F21"/>
    <mergeCell ref="A23:F23"/>
    <mergeCell ref="A25:F25"/>
    <mergeCell ref="A26:F26"/>
    <mergeCell ref="A27:F27"/>
    <mergeCell ref="A28:F28"/>
    <mergeCell ref="A29:F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6" min="2" style="0" width="20"/>
  </cols>
  <sheetData>
    <row r="1" customFormat="false" ht="17.35" hidden="false" customHeight="false" outlineLevel="0" collapsed="false">
      <c r="A1" s="13" t="s">
        <v>93</v>
      </c>
    </row>
    <row r="3" customFormat="false" ht="15" hidden="false" customHeight="false" outlineLevel="0" collapsed="false">
      <c r="A3" s="16" t="s">
        <v>94</v>
      </c>
      <c r="B3" s="16"/>
      <c r="C3" s="16"/>
      <c r="D3" s="16"/>
      <c r="E3" s="16"/>
      <c r="F3" s="16"/>
    </row>
    <row r="4" customFormat="false" ht="15" hidden="false" customHeight="true" outlineLevel="0" collapsed="false">
      <c r="A4" s="31" t="s">
        <v>95</v>
      </c>
      <c r="B4" s="17" t="s">
        <v>96</v>
      </c>
      <c r="C4" s="17"/>
      <c r="D4" s="17"/>
      <c r="E4" s="17"/>
      <c r="F4" s="17"/>
    </row>
    <row r="5" customFormat="false" ht="35.05" hidden="false" customHeight="true" outlineLevel="0" collapsed="false">
      <c r="A5" s="31" t="s">
        <v>97</v>
      </c>
      <c r="B5" s="17" t="s">
        <v>98</v>
      </c>
      <c r="C5" s="17"/>
      <c r="D5" s="17"/>
      <c r="E5" s="17"/>
      <c r="F5" s="17"/>
    </row>
    <row r="6" customFormat="false" ht="23.85" hidden="false" customHeight="true" outlineLevel="0" collapsed="false">
      <c r="A6" s="31" t="s">
        <v>99</v>
      </c>
      <c r="B6" s="17" t="s">
        <v>100</v>
      </c>
      <c r="C6" s="17"/>
      <c r="D6" s="17"/>
      <c r="E6" s="17"/>
      <c r="F6" s="17"/>
    </row>
    <row r="7" customFormat="false" ht="23.85" hidden="false" customHeight="true" outlineLevel="0" collapsed="false">
      <c r="A7" s="31" t="s">
        <v>101</v>
      </c>
      <c r="B7" s="17" t="s">
        <v>102</v>
      </c>
      <c r="C7" s="17"/>
      <c r="D7" s="17"/>
      <c r="E7" s="17"/>
      <c r="F7" s="17"/>
    </row>
    <row r="8" customFormat="false" ht="23.85" hidden="false" customHeight="true" outlineLevel="0" collapsed="false">
      <c r="A8" s="31" t="s">
        <v>103</v>
      </c>
      <c r="B8" s="17" t="s">
        <v>104</v>
      </c>
      <c r="C8" s="17"/>
      <c r="D8" s="17"/>
      <c r="E8" s="17"/>
      <c r="F8" s="17"/>
    </row>
    <row r="10" customFormat="false" ht="15" hidden="false" customHeight="false" outlineLevel="0" collapsed="false">
      <c r="A10" s="16" t="s">
        <v>105</v>
      </c>
      <c r="B10" s="16"/>
      <c r="C10" s="16"/>
      <c r="D10" s="16"/>
      <c r="E10" s="16"/>
      <c r="F10" s="16"/>
    </row>
    <row r="11" customFormat="false" ht="15" hidden="false" customHeight="true" outlineLevel="0" collapsed="false">
      <c r="A11" s="31" t="s">
        <v>106</v>
      </c>
      <c r="B11" s="17" t="s">
        <v>107</v>
      </c>
      <c r="C11" s="17"/>
      <c r="D11" s="17"/>
      <c r="E11" s="17"/>
      <c r="F11" s="17"/>
    </row>
    <row r="12" customFormat="false" ht="15" hidden="false" customHeight="true" outlineLevel="0" collapsed="false">
      <c r="A12" s="31" t="s">
        <v>108</v>
      </c>
      <c r="B12" s="17" t="s">
        <v>109</v>
      </c>
      <c r="C12" s="17"/>
      <c r="D12" s="17"/>
      <c r="E12" s="17"/>
      <c r="F12" s="17"/>
    </row>
    <row r="13" customFormat="false" ht="15" hidden="false" customHeight="true" outlineLevel="0" collapsed="false">
      <c r="A13" s="31" t="s">
        <v>110</v>
      </c>
      <c r="B13" s="17" t="s">
        <v>111</v>
      </c>
      <c r="C13" s="17"/>
      <c r="D13" s="17"/>
      <c r="E13" s="17"/>
      <c r="F13" s="17"/>
    </row>
    <row r="14" customFormat="false" ht="15" hidden="false" customHeight="true" outlineLevel="0" collapsed="false">
      <c r="A14" s="31" t="s">
        <v>112</v>
      </c>
      <c r="B14" s="17" t="s">
        <v>113</v>
      </c>
      <c r="C14" s="17"/>
      <c r="D14" s="17"/>
      <c r="E14" s="17"/>
      <c r="F14" s="17"/>
    </row>
    <row r="16" customFormat="false" ht="15" hidden="false" customHeight="false" outlineLevel="0" collapsed="false">
      <c r="A16" s="16" t="s">
        <v>114</v>
      </c>
      <c r="B16" s="16"/>
      <c r="C16" s="16"/>
      <c r="D16" s="16"/>
      <c r="E16" s="16"/>
      <c r="F16" s="16"/>
    </row>
    <row r="17" customFormat="false" ht="15" hidden="false" customHeight="true" outlineLevel="0" collapsed="false">
      <c r="A17" s="31" t="s">
        <v>115</v>
      </c>
      <c r="B17" s="17" t="s">
        <v>116</v>
      </c>
      <c r="C17" s="17"/>
      <c r="D17" s="17"/>
      <c r="E17" s="17"/>
      <c r="F17" s="17"/>
    </row>
    <row r="18" customFormat="false" ht="23.85" hidden="false" customHeight="true" outlineLevel="0" collapsed="false">
      <c r="A18" s="31" t="s">
        <v>117</v>
      </c>
      <c r="B18" s="17" t="s">
        <v>118</v>
      </c>
      <c r="C18" s="17"/>
      <c r="D18" s="17"/>
      <c r="E18" s="17"/>
      <c r="F18" s="17"/>
    </row>
    <row r="19" customFormat="false" ht="15" hidden="false" customHeight="true" outlineLevel="0" collapsed="false">
      <c r="A19" s="31" t="s">
        <v>119</v>
      </c>
      <c r="B19" s="17" t="s">
        <v>120</v>
      </c>
      <c r="C19" s="17"/>
      <c r="D19" s="17"/>
      <c r="E19" s="17"/>
      <c r="F19" s="17"/>
    </row>
    <row r="21" customFormat="false" ht="15" hidden="false" customHeight="false" outlineLevel="0" collapsed="false">
      <c r="A21" s="16" t="s">
        <v>121</v>
      </c>
      <c r="B21" s="16"/>
      <c r="C21" s="16"/>
      <c r="D21" s="16"/>
      <c r="E21" s="16"/>
      <c r="F21" s="16"/>
    </row>
    <row r="22" customFormat="false" ht="15" hidden="false" customHeight="true" outlineLevel="0" collapsed="false">
      <c r="A22" s="20" t="s">
        <v>122</v>
      </c>
      <c r="B22" s="20"/>
      <c r="C22" s="20"/>
      <c r="D22" s="20"/>
      <c r="E22" s="20"/>
      <c r="F22" s="20"/>
    </row>
    <row r="23" customFormat="false" ht="15" hidden="false" customHeight="true" outlineLevel="0" collapsed="false">
      <c r="A23" s="31" t="s">
        <v>123</v>
      </c>
      <c r="B23" s="17" t="s">
        <v>124</v>
      </c>
      <c r="C23" s="17"/>
      <c r="D23" s="17"/>
      <c r="E23" s="17"/>
      <c r="F23" s="17"/>
    </row>
    <row r="24" customFormat="false" ht="15" hidden="false" customHeight="true" outlineLevel="0" collapsed="false">
      <c r="A24" s="31" t="s">
        <v>125</v>
      </c>
      <c r="B24" s="17" t="s">
        <v>126</v>
      </c>
      <c r="C24" s="17"/>
      <c r="D24" s="17"/>
      <c r="E24" s="17"/>
      <c r="F24" s="17"/>
    </row>
    <row r="25" customFormat="false" ht="15" hidden="false" customHeight="true" outlineLevel="0" collapsed="false">
      <c r="A25" s="31" t="s">
        <v>127</v>
      </c>
      <c r="B25" s="17" t="s">
        <v>128</v>
      </c>
      <c r="C25" s="17"/>
      <c r="D25" s="17"/>
      <c r="E25" s="17"/>
      <c r="F25" s="17"/>
    </row>
    <row r="26" customFormat="false" ht="15" hidden="false" customHeight="true" outlineLevel="0" collapsed="false">
      <c r="A26" s="31" t="s">
        <v>129</v>
      </c>
      <c r="B26" s="17" t="s">
        <v>130</v>
      </c>
      <c r="C26" s="17"/>
      <c r="D26" s="17"/>
      <c r="E26" s="17"/>
      <c r="F26" s="17"/>
    </row>
  </sheetData>
  <mergeCells count="21">
    <mergeCell ref="A3:F3"/>
    <mergeCell ref="B4:F4"/>
    <mergeCell ref="B5:F5"/>
    <mergeCell ref="B6:F6"/>
    <mergeCell ref="B7:F7"/>
    <mergeCell ref="B8:F8"/>
    <mergeCell ref="A10:F10"/>
    <mergeCell ref="B11:F11"/>
    <mergeCell ref="B12:F12"/>
    <mergeCell ref="B13:F13"/>
    <mergeCell ref="B14:F14"/>
    <mergeCell ref="A16:F16"/>
    <mergeCell ref="B17:F17"/>
    <mergeCell ref="B18:F18"/>
    <mergeCell ref="B19:F19"/>
    <mergeCell ref="A21:F21"/>
    <mergeCell ref="A22:F22"/>
    <mergeCell ref="B23:F23"/>
    <mergeCell ref="B24:F24"/>
    <mergeCell ref="B25:F25"/>
    <mergeCell ref="B26:F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2026-07-30T15:36:34Z</dcterms:created>
  <dc:creator>openpyxl</dc:creator>
  <dc:description/>
  <dc:language>en-US</dc:language>
  <cp:lastModifiedBy/>
  <dcterms:modified xsi:type="dcterms:W3CDTF">2026-07-30T15:38:20Z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